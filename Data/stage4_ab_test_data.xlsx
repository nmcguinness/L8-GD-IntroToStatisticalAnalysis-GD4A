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05ee66aab140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ge4_AB_Data" sheetId="1" r:id="Rbfdf1925566748c4"/>
    <x:sheet xmlns:r="http://schemas.openxmlformats.org/officeDocument/2006/relationships" name="R_Readme" sheetId="2" r:id="R441d5b1ff77b441d"/>
    <x:sheet xmlns:r="http://schemas.openxmlformats.org/officeDocument/2006/relationships" name="Summary" sheetId="3" r:id="Rd3467393fae34e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6">
    <x:font>
      <x:sz val="11"/>
      <x:name val="Carlito"/>
    </x:font>
    <x:font>
      <x:b/>
      <x:sz val="11"/>
      <x:name val="Carlito"/>
    </x:font>
    <x:font>
      <x:b/>
      <x:sz val="11"/>
      <x:color rgb="2F2A24"/>
      <x:name val="Carlito"/>
    </x:font>
    <x:font>
      <x:sz val="10"/>
      <x:name val="Carlito"/>
    </x:font>
    <x:font>
      <x:b/>
      <x:sz val="16"/>
      <x:name val="Carlito"/>
    </x:font>
    <x:font>
      <x:sz val="11"/>
      <x:name val="Consolas"/>
    </x:font>
  </x:fonts>
  <x:fills count="5">
    <x:fill>
      <x:patternFill patternType="none"/>
    </x:fill>
    <x:fill>
      <x:patternFill patternType="gray125"/>
    </x:fill>
    <x:fill>
      <x:patternFill patternType="solid">
        <x:fgColor rgb="E7E1D8"/>
      </x:patternFill>
    </x:fill>
    <x:fill>
      <x:patternFill patternType="solid">
        <x:fgColor rgb="F3F0EB"/>
      </x:patternFill>
    </x:fill>
    <x:fill>
      <x:patternFill patternType="solid">
        <x:fgColor rgb="FAF8F5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1" fontId="0" fillId="0" borderId="1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6bc7e6cbe748a5" /><Relationship Type="http://schemas.openxmlformats.org/officeDocument/2006/relationships/theme" Target="/xl/theme/theme1.xml" Id="Rc367182597fe43b7" /><Relationship Type="http://schemas.openxmlformats.org/officeDocument/2006/relationships/sharedStrings" Target="/xl/sharedStrings.xml" Id="R785dc5d0f40d4f3c" /><Relationship Type="http://schemas.openxmlformats.org/officeDocument/2006/relationships/worksheet" Target="/xl/worksheets/sheet1.xml" Id="Rbfdf1925566748c4" /><Relationship Type="http://schemas.openxmlformats.org/officeDocument/2006/relationships/worksheet" Target="/xl/worksheets/sheet2.xml" Id="R441d5b1ff77b441d" /><Relationship Type="http://schemas.openxmlformats.org/officeDocument/2006/relationships/worksheet" Target="/xl/worksheets/sheet3.xml" Id="Rd3467393fae34e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2" hidden="0" customWidth="1"/>
    <x:col min="4" max="4" width="22" hidden="0" customWidth="1"/>
    <x:col min="5" max="5" width="14" hidden="0" customWidth="1"/>
    <x:col min="6" max="6" width="16" hidden="0" customWidth="1"/>
  </x:cols>
  <x:sheetData>
    <x:row r="1" ht="22" customHeight="1">
      <x:c r="A1" s="10" t="str">
        <x:v>player_id</x:v>
      </x:c>
      <x:c r="B1" s="10" t="str">
        <x:v>build</x:v>
      </x:c>
      <x:c r="C1" s="10" t="str">
        <x:v>completed</x:v>
      </x:c>
      <x:c r="D1" s="10" t="str">
        <x:v>completion_time_sec</x:v>
      </x:c>
      <x:c r="E1" s="10" t="str">
        <x:v>deaths_total</x:v>
      </x:c>
      <x:c r="F1" s="10" t="str">
        <x:v>confusion_1to7</x:v>
      </x:c>
    </x:row>
    <x:row r="2">
      <x:c r="A2" s="16" t="str">
        <x:v>P001</x:v>
      </x:c>
      <x:c r="B2" s="16" t="str">
        <x:v>A</x:v>
      </x:c>
      <x:c r="C2" s="18" t="n">
        <x:v>1</x:v>
      </x:c>
      <x:c r="D2" s="18" t="n">
        <x:v>221</x:v>
      </x:c>
      <x:c r="E2" s="18" t="n">
        <x:v>4</x:v>
      </x:c>
      <x:c r="F2" s="18" t="n">
        <x:v>6</x:v>
      </x:c>
    </x:row>
    <x:row r="3">
      <x:c r="A3" s="16" t="str">
        <x:v>P002</x:v>
      </x:c>
      <x:c r="B3" s="16" t="str">
        <x:v>A</x:v>
      </x:c>
      <x:c r="C3" s="18" t="n">
        <x:v>1</x:v>
      </x:c>
      <x:c r="D3" s="18" t="n">
        <x:v>198</x:v>
      </x:c>
      <x:c r="E3" s="18" t="n">
        <x:v>3</x:v>
      </x:c>
      <x:c r="F3" s="18" t="n">
        <x:v>5</x:v>
      </x:c>
    </x:row>
    <x:row r="4">
      <x:c r="A4" s="16" t="str">
        <x:v>P003</x:v>
      </x:c>
      <x:c r="B4" s="16" t="str">
        <x:v>A</x:v>
      </x:c>
      <x:c r="C4" s="18" t="n">
        <x:v>1</x:v>
      </x:c>
      <x:c r="D4" s="18" t="n">
        <x:v>244</x:v>
      </x:c>
      <x:c r="E4" s="18" t="n">
        <x:v>5</x:v>
      </x:c>
      <x:c r="F4" s="18" t="n">
        <x:v>6</x:v>
      </x:c>
    </x:row>
    <x:row r="5">
      <x:c r="A5" s="16" t="str">
        <x:v>P004</x:v>
      </x:c>
      <x:c r="B5" s="16" t="str">
        <x:v>A</x:v>
      </x:c>
      <x:c r="C5" s="18" t="n">
        <x:v>1</x:v>
      </x:c>
      <x:c r="D5" s="18" t="n">
        <x:v>210</x:v>
      </x:c>
      <x:c r="E5" s="18" t="n">
        <x:v>3</x:v>
      </x:c>
      <x:c r="F5" s="18" t="n">
        <x:v>5</x:v>
      </x:c>
    </x:row>
    <x:row r="6">
      <x:c r="A6" s="16" t="str">
        <x:v>P005</x:v>
      </x:c>
      <x:c r="B6" s="16" t="str">
        <x:v>A</x:v>
      </x:c>
      <x:c r="C6" s="18" t="n">
        <x:v>1</x:v>
      </x:c>
      <x:c r="D6" s="18" t="n">
        <x:v>233</x:v>
      </x:c>
      <x:c r="E6" s="18" t="n">
        <x:v>4</x:v>
      </x:c>
      <x:c r="F6" s="18" t="n">
        <x:v>6</x:v>
      </x:c>
    </x:row>
    <x:row r="7">
      <x:c r="A7" s="16" t="str">
        <x:v>P006</x:v>
      </x:c>
      <x:c r="B7" s="16" t="str">
        <x:v>A</x:v>
      </x:c>
      <x:c r="C7" s="18" t="n">
        <x:v>1</x:v>
      </x:c>
      <x:c r="D7" s="18" t="n">
        <x:v>187</x:v>
      </x:c>
      <x:c r="E7" s="18" t="n">
        <x:v>2</x:v>
      </x:c>
      <x:c r="F7" s="18" t="n">
        <x:v>4</x:v>
      </x:c>
    </x:row>
    <x:row r="8">
      <x:c r="A8" s="16" t="str">
        <x:v>P007</x:v>
      </x:c>
      <x:c r="B8" s="16" t="str">
        <x:v>A</x:v>
      </x:c>
      <x:c r="C8" s="18" t="n">
        <x:v>1</x:v>
      </x:c>
      <x:c r="D8" s="18" t="n">
        <x:v>256</x:v>
      </x:c>
      <x:c r="E8" s="18" t="n">
        <x:v>6</x:v>
      </x:c>
      <x:c r="F8" s="18" t="n">
        <x:v>7</x:v>
      </x:c>
    </x:row>
    <x:row r="9">
      <x:c r="A9" s="16" t="str">
        <x:v>P008</x:v>
      </x:c>
      <x:c r="B9" s="16" t="str">
        <x:v>A</x:v>
      </x:c>
      <x:c r="C9" s="18" t="n">
        <x:v>1</x:v>
      </x:c>
      <x:c r="D9" s="18" t="n">
        <x:v>229</x:v>
      </x:c>
      <x:c r="E9" s="18" t="n">
        <x:v>4</x:v>
      </x:c>
      <x:c r="F9" s="18" t="n">
        <x:v>6</x:v>
      </x:c>
    </x:row>
    <x:row r="10">
      <x:c r="A10" s="16" t="str">
        <x:v>P009</x:v>
      </x:c>
      <x:c r="B10" s="16" t="str">
        <x:v>A</x:v>
      </x:c>
      <x:c r="C10" s="18" t="n">
        <x:v>1</x:v>
      </x:c>
      <x:c r="D10" s="18" t="n">
        <x:v>205</x:v>
      </x:c>
      <x:c r="E10" s="18" t="n">
        <x:v>3</x:v>
      </x:c>
      <x:c r="F10" s="18" t="n">
        <x:v>5</x:v>
      </x:c>
    </x:row>
    <x:row r="11">
      <x:c r="A11" s="16" t="str">
        <x:v>P010</x:v>
      </x:c>
      <x:c r="B11" s="16" t="str">
        <x:v>A</x:v>
      </x:c>
      <x:c r="C11" s="18" t="n">
        <x:v>1</x:v>
      </x:c>
      <x:c r="D11" s="18" t="n">
        <x:v>238</x:v>
      </x:c>
      <x:c r="E11" s="18" t="n">
        <x:v>5</x:v>
      </x:c>
      <x:c r="F11" s="18" t="n">
        <x:v>6</x:v>
      </x:c>
    </x:row>
    <x:row r="12">
      <x:c r="A12" s="16" t="str">
        <x:v>P011</x:v>
      </x:c>
      <x:c r="B12" s="16" t="str">
        <x:v>A</x:v>
      </x:c>
      <x:c r="C12" s="18" t="n">
        <x:v>1</x:v>
      </x:c>
      <x:c r="D12" s="18" t="n">
        <x:v>216</x:v>
      </x:c>
      <x:c r="E12" s="18" t="n">
        <x:v>4</x:v>
      </x:c>
      <x:c r="F12" s="18" t="n">
        <x:v>5</x:v>
      </x:c>
    </x:row>
    <x:row r="13">
      <x:c r="A13" s="16" t="str">
        <x:v>P012</x:v>
      </x:c>
      <x:c r="B13" s="16" t="str">
        <x:v>A</x:v>
      </x:c>
      <x:c r="C13" s="18" t="n">
        <x:v>1</x:v>
      </x:c>
      <x:c r="D13" s="18" t="n">
        <x:v>247</x:v>
      </x:c>
      <x:c r="E13" s="18" t="n">
        <x:v>5</x:v>
      </x:c>
      <x:c r="F13" s="18" t="n">
        <x:v>6</x:v>
      </x:c>
    </x:row>
    <x:row r="14">
      <x:c r="A14" s="16" t="str">
        <x:v>P013</x:v>
      </x:c>
      <x:c r="B14" s="16" t="str">
        <x:v>B</x:v>
      </x:c>
      <x:c r="C14" s="18" t="n">
        <x:v>1</x:v>
      </x:c>
      <x:c r="D14" s="18" t="n">
        <x:v>176</x:v>
      </x:c>
      <x:c r="E14" s="18" t="n">
        <x:v>3</x:v>
      </x:c>
      <x:c r="F14" s="18" t="n">
        <x:v>4</x:v>
      </x:c>
    </x:row>
    <x:row r="15">
      <x:c r="A15" s="16" t="str">
        <x:v>P014</x:v>
      </x:c>
      <x:c r="B15" s="16" t="str">
        <x:v>B</x:v>
      </x:c>
      <x:c r="C15" s="18" t="n">
        <x:v>1</x:v>
      </x:c>
      <x:c r="D15" s="18" t="n">
        <x:v>162</x:v>
      </x:c>
      <x:c r="E15" s="18" t="n">
        <x:v>2</x:v>
      </x:c>
      <x:c r="F15" s="18" t="n">
        <x:v>3</x:v>
      </x:c>
    </x:row>
    <x:row r="16">
      <x:c r="A16" s="16" t="str">
        <x:v>P015</x:v>
      </x:c>
      <x:c r="B16" s="16" t="str">
        <x:v>B</x:v>
      </x:c>
      <x:c r="C16" s="18" t="n">
        <x:v>1</x:v>
      </x:c>
      <x:c r="D16" s="18" t="n">
        <x:v>190</x:v>
      </x:c>
      <x:c r="E16" s="18" t="n">
        <x:v>3</x:v>
      </x:c>
      <x:c r="F16" s="18" t="n">
        <x:v>4</x:v>
      </x:c>
    </x:row>
    <x:row r="17">
      <x:c r="A17" s="16" t="str">
        <x:v>P016</x:v>
      </x:c>
      <x:c r="B17" s="16" t="str">
        <x:v>B</x:v>
      </x:c>
      <x:c r="C17" s="18" t="n">
        <x:v>1</x:v>
      </x:c>
      <x:c r="D17" s="18" t="n">
        <x:v>181</x:v>
      </x:c>
      <x:c r="E17" s="18" t="n">
        <x:v>2</x:v>
      </x:c>
      <x:c r="F17" s="18" t="n">
        <x:v>3</x:v>
      </x:c>
    </x:row>
    <x:row r="18">
      <x:c r="A18" s="16" t="str">
        <x:v>P017</x:v>
      </x:c>
      <x:c r="B18" s="16" t="str">
        <x:v>B</x:v>
      </x:c>
      <x:c r="C18" s="18" t="n">
        <x:v>1</x:v>
      </x:c>
      <x:c r="D18" s="18" t="n">
        <x:v>169</x:v>
      </x:c>
      <x:c r="E18" s="18" t="n">
        <x:v>2</x:v>
      </x:c>
      <x:c r="F18" s="18" t="n">
        <x:v>3</x:v>
      </x:c>
    </x:row>
    <x:row r="19">
      <x:c r="A19" s="16" t="str">
        <x:v>P018</x:v>
      </x:c>
      <x:c r="B19" s="16" t="str">
        <x:v>B</x:v>
      </x:c>
      <x:c r="C19" s="18" t="n">
        <x:v>1</x:v>
      </x:c>
      <x:c r="D19" s="18" t="n">
        <x:v>201</x:v>
      </x:c>
      <x:c r="E19" s="18" t="n">
        <x:v>4</x:v>
      </x:c>
      <x:c r="F19" s="18" t="n">
        <x:v>5</x:v>
      </x:c>
    </x:row>
    <x:row r="20">
      <x:c r="A20" s="16" t="str">
        <x:v>P019</x:v>
      </x:c>
      <x:c r="B20" s="16" t="str">
        <x:v>B</x:v>
      </x:c>
      <x:c r="C20" s="18" t="n">
        <x:v>1</x:v>
      </x:c>
      <x:c r="D20" s="18" t="n">
        <x:v>158</x:v>
      </x:c>
      <x:c r="E20" s="18" t="n">
        <x:v>1</x:v>
      </x:c>
      <x:c r="F20" s="18" t="n">
        <x:v>2</x:v>
      </x:c>
    </x:row>
    <x:row r="21">
      <x:c r="A21" s="16" t="str">
        <x:v>P020</x:v>
      </x:c>
      <x:c r="B21" s="16" t="str">
        <x:v>B</x:v>
      </x:c>
      <x:c r="C21" s="18" t="n">
        <x:v>1</x:v>
      </x:c>
      <x:c r="D21" s="18" t="n">
        <x:v>174</x:v>
      </x:c>
      <x:c r="E21" s="18" t="n">
        <x:v>2</x:v>
      </x:c>
      <x:c r="F21" s="18" t="n">
        <x:v>3</x:v>
      </x:c>
    </x:row>
    <x:row r="22">
      <x:c r="A22" s="16" t="str">
        <x:v>P021</x:v>
      </x:c>
      <x:c r="B22" s="16" t="str">
        <x:v>B</x:v>
      </x:c>
      <x:c r="C22" s="18" t="n">
        <x:v>1</x:v>
      </x:c>
      <x:c r="D22" s="18" t="n">
        <x:v>186</x:v>
      </x:c>
      <x:c r="E22" s="18" t="n">
        <x:v>3</x:v>
      </x:c>
      <x:c r="F22" s="18" t="n">
        <x:v>4</x:v>
      </x:c>
    </x:row>
    <x:row r="23">
      <x:c r="A23" s="16" t="str">
        <x:v>P022</x:v>
      </x:c>
      <x:c r="B23" s="16" t="str">
        <x:v>B</x:v>
      </x:c>
      <x:c r="C23" s="18" t="n">
        <x:v>1</x:v>
      </x:c>
      <x:c r="D23" s="18" t="n">
        <x:v>193</x:v>
      </x:c>
      <x:c r="E23" s="18" t="n">
        <x:v>3</x:v>
      </x:c>
      <x:c r="F23" s="18" t="n">
        <x:v>4</x:v>
      </x:c>
    </x:row>
    <x:row r="24">
      <x:c r="A24" s="16" t="str">
        <x:v>P023</x:v>
      </x:c>
      <x:c r="B24" s="16" t="str">
        <x:v>B</x:v>
      </x:c>
      <x:c r="C24" s="18" t="n">
        <x:v>1</x:v>
      </x:c>
      <x:c r="D24" s="18" t="n">
        <x:v>167</x:v>
      </x:c>
      <x:c r="E24" s="18" t="n">
        <x:v>2</x:v>
      </x:c>
      <x:c r="F24" s="18" t="n">
        <x:v>3</x:v>
      </x:c>
    </x:row>
    <x:row r="25">
      <x:c r="A25" s="16" t="str">
        <x:v>P024</x:v>
      </x:c>
      <x:c r="B25" s="16" t="str">
        <x:v>B</x:v>
      </x:c>
      <x:c r="C25" s="18" t="n">
        <x:v>1</x:v>
      </x:c>
      <x:c r="D25" s="18" t="n">
        <x:v>179</x:v>
      </x:c>
      <x:c r="E25" s="18" t="n">
        <x:v>2</x:v>
      </x:c>
      <x:c r="F25" s="18" t="n">
        <x:v>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0" hidden="0" customWidth="1"/>
    <x:col min="2" max="2" width="55" hidden="0" customWidth="1"/>
  </x:cols>
  <x:sheetData>
    <x:row r="1">
      <x:c r="A1" s="24" t="str">
        <x:v>How to read this spreadsheet in R</x:v>
      </x:c>
      <x:c r="B1" s="24"/>
      <x:c r="C1" s="24"/>
      <x:c r="D1" s="24"/>
      <x:c r="E1" s="24"/>
    </x:row>
    <x:row r="3">
      <x:c r="A3" s="41" t="str">
        <x:v>Install/load readxl and read the Stage4_AB_Data sheet:</x:v>
      </x:c>
      <x:c r="B3" s="41"/>
    </x:row>
    <x:row r="4">
      <x:c r="A4" s="42" t="str">
        <x:v>install.packages('readxl')  # run once if needed</x:v>
      </x:c>
      <x:c r="B4" s="41"/>
    </x:row>
    <x:row r="5">
      <x:c r="A5" s="42" t="str">
        <x:v>library(readxl)</x:v>
      </x:c>
      <x:c r="B5" s="41"/>
    </x:row>
    <x:row r="6">
      <x:c r="A6" s="42" t="str">
        <x:v>test_df &lt;- read_excel('stage4_ab_test_data.xlsx', sheet = 'Stage4_AB_Data')</x:v>
      </x:c>
      <x:c r="B6" s="41"/>
    </x:row>
    <x:row r="7">
      <x:c r="A7" s="42" t="str">
        <x:v>test_df$build &lt;- factor(test_df$build, levels = c('A', 'B'))</x:v>
      </x:c>
      <x:c r="B7" s="41"/>
    </x:row>
    <x:row r="8">
      <x:c r="A8" s="42" t="str">
        <x:v>t.test(completion_time_sec ~ build, data = test_df, alternative = 'two.sided')</x:v>
      </x:c>
      <x:c r="B8" s="41"/>
    </x:row>
    <x:row r="9">
      <x:c r="A9" s="41"/>
      <x:c r="B9" s="41"/>
    </x:row>
    <x:row r="10">
      <x:c r="A10" s="43" t="str">
        <x:v>Columns</x:v>
      </x:c>
      <x:c r="B10" s="43"/>
    </x:row>
    <x:row r="11">
      <x:c r="A11" s="41" t="str">
        <x:v>player_id</x:v>
      </x:c>
      <x:c r="B11" s="41" t="str">
        <x:v>Anonymous participant/session ID</x:v>
      </x:c>
    </x:row>
    <x:row r="12">
      <x:c r="A12" s="41" t="str">
        <x:v>build</x:v>
      </x:c>
      <x:c r="B12" s="41" t="str">
        <x:v>A = original build; B = objective marker build</x:v>
      </x:c>
    </x:row>
    <x:row r="13">
      <x:c r="A13" s="41" t="str">
        <x:v>completed</x:v>
      </x:c>
      <x:c r="B13" s="41" t="str">
        <x:v>1 = player completed the test task</x:v>
      </x:c>
    </x:row>
    <x:row r="14">
      <x:c r="A14" s="41" t="str">
        <x:v>completion_time_sec</x:v>
      </x:c>
      <x:c r="B14" s="41" t="str">
        <x:v>Dependent variable: level completion time in seconds</x:v>
      </x:c>
    </x:row>
    <x:row r="15">
      <x:c r="A15" s="41" t="str">
        <x:v>deaths_total</x:v>
      </x:c>
      <x:c r="B15" s="41" t="str">
        <x:v>Number of deaths in the session</x:v>
      </x:c>
    </x:row>
    <x:row r="16">
      <x:c r="A16" s="41" t="str">
        <x:v>confusion_1to7</x:v>
      </x:c>
      <x:c r="B16" s="41" t="str">
        <x:v>Self-reported confusion rating, 1 = low, 7 = high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18" hidden="0" customWidth="1"/>
    <x:col min="4" max="4" width="18" hidden="0" customWidth="1"/>
    <x:col min="5" max="5" width="16" hidden="0" customWidth="1"/>
    <x:col min="6" max="6" width="14" hidden="0" customWidth="1"/>
  </x:cols>
  <x:sheetData>
    <x:row r="1" ht="30" customHeight="1">
      <x:c r="A1" s="26" t="str">
        <x:v>Stage 4 A/B Test Summary</x:v>
      </x:c>
      <x:c r="B1" s="26"/>
      <x:c r="C1" s="26"/>
      <x:c r="D1" s="26"/>
      <x:c r="E1" s="26"/>
      <x:c r="F1" s="26"/>
    </x:row>
    <x:row r="3">
      <x:c r="A3" s="31" t="str">
        <x:v>Build</x:v>
      </x:c>
      <x:c r="B3" s="31" t="str">
        <x:v>n</x:v>
      </x:c>
      <x:c r="C3" s="31" t="str">
        <x:v>Mean Time (sec)</x:v>
      </x:c>
      <x:c r="D3" s="31" t="str">
        <x:v>Median Time (sec)</x:v>
      </x:c>
      <x:c r="E3" s="31" t="str">
        <x:v>SD Time (sec)</x:v>
      </x:c>
      <x:c r="F3" s="31" t="str">
        <x:v>Mean Deaths</x:v>
      </x:c>
    </x:row>
    <x:row r="4">
      <x:c r="A4" s="32" t="str">
        <x:v>A</x:v>
      </x:c>
      <x:c r="B4" s="33" t="n">
        <x:f>COUNTIF(Stage4_AB_Data!$B$2:$B$25,A4)</x:f>
        <x:v>12</x:v>
      </x:c>
      <x:c r="C4" s="33" t="n">
        <x:f>AVERAGEIF(Stage4_AB_Data!$B$2:$B$25,A4,Stage4_AB_Data!$D$2:$D$25)</x:f>
        <x:v>223.66666666666666</x:v>
      </x:c>
      <x:c r="D4" s="33" t="n">
        <x:f>MEDIAN(FILTER(Stage4_AB_Data!$D$2:$D$25,Stage4_AB_Data!$B$2:$B$25=A4))</x:f>
        <x:v>225</x:v>
      </x:c>
      <x:c r="E4" s="33" t="n">
        <x:f>STDEV.S(FILTER(Stage4_AB_Data!$D$2:$D$25,Stage4_AB_Data!$B$2:$B$25=A4))</x:f>
        <x:v>21.167442123709847</x:v>
      </x:c>
      <x:c r="F4" s="33" t="n">
        <x:f>AVERAGEIF(Stage4_AB_Data!$B$2:$B$25,A4,Stage4_AB_Data!$E$2:$E$25)</x:f>
        <x:v>4</x:v>
      </x:c>
    </x:row>
    <x:row r="5">
      <x:c r="A5" s="32" t="str">
        <x:v>B</x:v>
      </x:c>
      <x:c r="B5" s="33" t="n">
        <x:f>COUNTIF(Stage4_AB_Data!$B$2:$B$25,A5)</x:f>
        <x:v>12</x:v>
      </x:c>
      <x:c r="C5" s="33" t="n">
        <x:f>AVERAGEIF(Stage4_AB_Data!$B$2:$B$25,A5,Stage4_AB_Data!$D$2:$D$25)</x:f>
        <x:v>178</x:v>
      </x:c>
      <x:c r="D5" s="33" t="n">
        <x:f>MEDIAN(FILTER(Stage4_AB_Data!$D$2:$D$25,Stage4_AB_Data!$B$2:$B$25=A5))</x:f>
        <x:v>177.5</x:v>
      </x:c>
      <x:c r="E5" s="33" t="n">
        <x:f>STDEV.S(FILTER(Stage4_AB_Data!$D$2:$D$25,Stage4_AB_Data!$B$2:$B$25=A5))</x:f>
        <x:v>12.96849328880646</x:v>
      </x:c>
      <x:c r="F5" s="33" t="n">
        <x:f>AVERAGEIF(Stage4_AB_Data!$B$2:$B$25,A5,Stage4_AB_Data!$E$2:$E$25)</x:f>
        <x:v>2.4166666666666665</x:v>
      </x:c>
    </x:row>
  </x:sheetData>
  <x:mergeCells>
    <x:mergeCell ref="A1:F1"/>
  </x:mergeCells>
  <x:pageMargins left="0.7" right="0.7" top="0.75" bottom="0.75" header="0.3" footer="0.3"/>
</x:worksheet>
</file>